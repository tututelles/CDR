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3" sheetId="1" r:id="rId5"/>
  </sheets>
  <definedNames/>
  <calcPr/>
</workbook>
</file>

<file path=xl/sharedStrings.xml><?xml version="1.0" encoding="utf-8"?>
<sst xmlns="http://schemas.openxmlformats.org/spreadsheetml/2006/main" count="54" uniqueCount="22">
  <si>
    <t>ID</t>
  </si>
  <si>
    <t>Nome do item</t>
  </si>
  <si>
    <t>Tipo</t>
  </si>
  <si>
    <t>Coluna 1</t>
  </si>
  <si>
    <t>Estoque</t>
  </si>
  <si>
    <t>Status</t>
  </si>
  <si>
    <t>Tirante Bateria</t>
  </si>
  <si>
    <t>Tirante</t>
  </si>
  <si>
    <t>Grosso</t>
  </si>
  <si>
    <t>012611(tipo[2carac],ano,semestre,modelo[2carac])</t>
  </si>
  <si>
    <t>Tirante Campeões</t>
  </si>
  <si>
    <t>Fino</t>
  </si>
  <si>
    <t>como funcionaria o ID, não sei se é necessário</t>
  </si>
  <si>
    <t>Tirante Intermed</t>
  </si>
  <si>
    <t xml:space="preserve">Tirante </t>
  </si>
  <si>
    <t>Total</t>
  </si>
  <si>
    <t>Tirante Junino</t>
  </si>
  <si>
    <t>Tirante LGBT</t>
  </si>
  <si>
    <t>Tirante Tradicional</t>
  </si>
  <si>
    <t>Tirante Interce</t>
  </si>
  <si>
    <t>Tirante Especial</t>
  </si>
  <si>
    <t>Tirante Integra Clássico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</si>
</sst>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B45F06"/>
        </left>
        <right style="thin">
          <color rgb="FFB45F06"/>
        </right>
        <top style="thin">
          <color rgb="FFB45F06"/>
        </top>
        <bottom style="thin">
          <color rgb="FFB45F06"/>
        </bottom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4" pivot="0" name="Página3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ágina3-style 2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irantes" name="Tirantes" id="1">
  <tableColumns count="6">
    <tableColumn name="ID" id="1"/>
    <tableColumn name="Nome do item" id="2"/>
    <tableColumn name="Tipo" id="3"/>
    <tableColumn name="Coluna 1" id="4"/>
    <tableColumn name="Estoque" id="5"/>
    <tableColumn name="Status" id="6"/>
  </tableColumns>
  <tableStyleInfo name="Página3-style" showColumnStripes="0" showFirstColumn="1" showLastColumn="1" showRowStripes="1"/>
</table>
</file>

<file path=xl/tables/table2.xml><?xml version="1.0" encoding="utf-8"?>
<table xmlns="http://schemas.openxmlformats.org/spreadsheetml/2006/main" ref="H1:J15" displayName="Tabela_1" name="Tabela_1" id="2">
  <tableColumns count="3">
    <tableColumn name="Tipo" id="1"/>
    <tableColumn name="Coluna 1" id="2"/>
    <tableColumn name="Estoque" id="3"/>
  </tableColumns>
  <tableStyleInfo name="Página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7.63"/>
    <col customWidth="1" min="3" max="3" width="15.13"/>
    <col customWidth="1" min="4" max="4" width="15.25"/>
    <col customWidth="1" min="5" max="5" width="15.13"/>
    <col customWidth="1" min="6" max="6" width="25.13"/>
    <col customWidth="1" min="9" max="9" width="15.25"/>
    <col customWidth="1" min="11" max="11" width="19.25"/>
    <col customWidth="1" min="12" max="12" width="40.1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H1" s="2" t="s">
        <v>2</v>
      </c>
      <c r="I1" s="1" t="s">
        <v>3</v>
      </c>
      <c r="J1" s="2" t="s">
        <v>4</v>
      </c>
    </row>
    <row r="2" ht="22.5" customHeight="1">
      <c r="B2" s="3" t="s">
        <v>6</v>
      </c>
      <c r="C2" s="4" t="s">
        <v>7</v>
      </c>
      <c r="D2" s="4" t="s">
        <v>8</v>
      </c>
      <c r="E2" s="5">
        <v>29.0</v>
      </c>
      <c r="F2" s="3" t="str">
        <f t="shared" ref="F2:F15" si="1">IF(E2=0, "Esgotado", IF(E2&lt;=5, "Quase Acabando", "Em Estoque"))</f>
        <v>Em Estoque</v>
      </c>
      <c r="H2" s="6" t="s">
        <v>7</v>
      </c>
      <c r="I2" s="6" t="s">
        <v>8</v>
      </c>
      <c r="J2" s="5">
        <f>SUMIF(D2:D100, "Grosso", E2:E100)</f>
        <v>107</v>
      </c>
      <c r="L2" s="7" t="s">
        <v>9</v>
      </c>
    </row>
    <row r="3" ht="22.5" customHeight="1">
      <c r="B3" s="3" t="s">
        <v>10</v>
      </c>
      <c r="C3" s="4" t="s">
        <v>7</v>
      </c>
      <c r="D3" s="4" t="s">
        <v>8</v>
      </c>
      <c r="E3" s="5">
        <v>16.0</v>
      </c>
      <c r="F3" s="3" t="str">
        <f t="shared" si="1"/>
        <v>Em Estoque</v>
      </c>
      <c r="H3" s="6" t="s">
        <v>7</v>
      </c>
      <c r="I3" s="3" t="s">
        <v>11</v>
      </c>
      <c r="J3" s="5">
        <f>SUMIF(D2:D100, "Fino", E2:E100)</f>
        <v>47</v>
      </c>
      <c r="L3" s="7" t="s">
        <v>12</v>
      </c>
    </row>
    <row r="4" ht="22.5" customHeight="1">
      <c r="B4" s="3" t="s">
        <v>13</v>
      </c>
      <c r="C4" s="4" t="s">
        <v>7</v>
      </c>
      <c r="D4" s="4" t="s">
        <v>11</v>
      </c>
      <c r="E4" s="5">
        <v>8.0</v>
      </c>
      <c r="F4" s="3" t="str">
        <f t="shared" si="1"/>
        <v>Em Estoque</v>
      </c>
      <c r="H4" s="6" t="s">
        <v>14</v>
      </c>
      <c r="I4" s="3" t="s">
        <v>15</v>
      </c>
      <c r="J4" s="5">
        <f>SUMIF(F2:F100, "Em estoque",E2:E100)</f>
        <v>146</v>
      </c>
    </row>
    <row r="5" ht="22.5" customHeight="1">
      <c r="B5" s="3" t="s">
        <v>16</v>
      </c>
      <c r="C5" s="4" t="s">
        <v>7</v>
      </c>
      <c r="D5" s="4" t="s">
        <v>8</v>
      </c>
      <c r="E5" s="5">
        <v>14.0</v>
      </c>
      <c r="F5" s="3" t="str">
        <f t="shared" si="1"/>
        <v>Em Estoque</v>
      </c>
      <c r="H5" s="6"/>
      <c r="I5" s="8"/>
      <c r="J5" s="5"/>
    </row>
    <row r="6" ht="22.5" customHeight="1">
      <c r="B6" s="3" t="s">
        <v>17</v>
      </c>
      <c r="C6" s="4" t="s">
        <v>7</v>
      </c>
      <c r="D6" s="4" t="s">
        <v>8</v>
      </c>
      <c r="E6" s="5">
        <v>8.0</v>
      </c>
      <c r="F6" s="3" t="str">
        <f t="shared" si="1"/>
        <v>Em Estoque</v>
      </c>
      <c r="H6" s="6"/>
      <c r="I6" s="8"/>
      <c r="J6" s="5"/>
    </row>
    <row r="7" ht="22.5" customHeight="1">
      <c r="B7" s="3" t="s">
        <v>17</v>
      </c>
      <c r="C7" s="4" t="s">
        <v>7</v>
      </c>
      <c r="D7" s="4" t="s">
        <v>11</v>
      </c>
      <c r="E7" s="5">
        <v>9.0</v>
      </c>
      <c r="F7" s="3" t="str">
        <f t="shared" si="1"/>
        <v>Em Estoque</v>
      </c>
      <c r="H7" s="6"/>
      <c r="I7" s="8"/>
      <c r="J7" s="5"/>
    </row>
    <row r="8" ht="22.5" customHeight="1">
      <c r="A8" s="6" t="s">
        <v>9</v>
      </c>
      <c r="B8" s="3" t="s">
        <v>18</v>
      </c>
      <c r="C8" s="4" t="s">
        <v>7</v>
      </c>
      <c r="D8" s="4" t="s">
        <v>8</v>
      </c>
      <c r="E8" s="5">
        <v>38.0</v>
      </c>
      <c r="F8" s="3" t="str">
        <f t="shared" si="1"/>
        <v>Em Estoque</v>
      </c>
      <c r="H8" s="6"/>
      <c r="I8" s="8"/>
      <c r="J8" s="5"/>
    </row>
    <row r="9" ht="22.5" customHeight="1">
      <c r="B9" s="3" t="s">
        <v>19</v>
      </c>
      <c r="C9" s="4" t="s">
        <v>7</v>
      </c>
      <c r="D9" s="4" t="s">
        <v>11</v>
      </c>
      <c r="E9" s="5">
        <v>24.0</v>
      </c>
      <c r="F9" s="3" t="str">
        <f t="shared" si="1"/>
        <v>Em Estoque</v>
      </c>
      <c r="H9" s="6"/>
      <c r="I9" s="8"/>
      <c r="J9" s="5"/>
    </row>
    <row r="10" ht="22.5" customHeight="1">
      <c r="B10" s="3" t="s">
        <v>6</v>
      </c>
      <c r="C10" s="4" t="s">
        <v>7</v>
      </c>
      <c r="D10" s="4" t="s">
        <v>11</v>
      </c>
      <c r="E10" s="5">
        <v>2.0</v>
      </c>
      <c r="F10" s="6" t="str">
        <f t="shared" si="1"/>
        <v>Quase Acabando</v>
      </c>
      <c r="H10" s="6"/>
      <c r="I10" s="8"/>
      <c r="J10" s="5"/>
    </row>
    <row r="11" ht="22.5" customHeight="1">
      <c r="B11" s="3" t="s">
        <v>20</v>
      </c>
      <c r="C11" s="4" t="s">
        <v>7</v>
      </c>
      <c r="D11" s="4" t="s">
        <v>8</v>
      </c>
      <c r="E11" s="5">
        <v>2.0</v>
      </c>
      <c r="F11" s="3" t="str">
        <f t="shared" si="1"/>
        <v>Quase Acabando</v>
      </c>
      <c r="H11" s="6"/>
      <c r="I11" s="8"/>
      <c r="J11" s="5"/>
    </row>
    <row r="12" ht="22.5" customHeight="1">
      <c r="B12" s="3" t="s">
        <v>21</v>
      </c>
      <c r="C12" s="4" t="s">
        <v>7</v>
      </c>
      <c r="D12" s="4" t="s">
        <v>11</v>
      </c>
      <c r="E12" s="5">
        <v>2.0</v>
      </c>
      <c r="F12" s="3" t="str">
        <f t="shared" si="1"/>
        <v>Quase Acabando</v>
      </c>
      <c r="H12" s="6"/>
      <c r="I12" s="8"/>
      <c r="J12" s="5"/>
    </row>
    <row r="13" ht="22.5" customHeight="1">
      <c r="B13" s="3" t="s">
        <v>18</v>
      </c>
      <c r="C13" s="4" t="s">
        <v>7</v>
      </c>
      <c r="D13" s="4" t="s">
        <v>11</v>
      </c>
      <c r="E13" s="5">
        <v>2.0</v>
      </c>
      <c r="F13" s="3" t="str">
        <f t="shared" si="1"/>
        <v>Quase Acabando</v>
      </c>
      <c r="H13" s="8"/>
      <c r="I13" s="8"/>
      <c r="J13" s="9"/>
    </row>
    <row r="14" ht="22.5" customHeight="1">
      <c r="B14" s="8"/>
      <c r="C14" s="10"/>
      <c r="D14" s="10"/>
      <c r="E14" s="11"/>
      <c r="F14" s="3" t="str">
        <f t="shared" si="1"/>
        <v>Esgotado</v>
      </c>
      <c r="H14" s="8"/>
      <c r="I14" s="8"/>
      <c r="J14" s="9"/>
    </row>
    <row r="15" ht="22.5" customHeight="1">
      <c r="B15" s="8"/>
      <c r="C15" s="10"/>
      <c r="D15" s="10"/>
      <c r="E15" s="11"/>
      <c r="F15" s="3" t="str">
        <f t="shared" si="1"/>
        <v>Esgotado</v>
      </c>
      <c r="H15" s="8"/>
      <c r="I15" s="8"/>
      <c r="J15" s="9"/>
    </row>
  </sheetData>
  <conditionalFormatting sqref="F2:F15">
    <cfRule type="containsText" dxfId="4" priority="1" operator="containsText" text="Quase acabando">
      <formula>NOT(ISERROR(SEARCH(("Quase acabando"),(F2))))</formula>
    </cfRule>
  </conditionalFormatting>
  <conditionalFormatting sqref="F2:F15">
    <cfRule type="containsText" dxfId="5" priority="2" operator="containsText" text="Em estoque">
      <formula>NOT(ISERROR(SEARCH(("Em estoque"),(F2))))</formula>
    </cfRule>
  </conditionalFormatting>
  <conditionalFormatting sqref="F2:F15">
    <cfRule type="containsText" dxfId="6" priority="3" operator="containsText" text="Esgotado">
      <formula>NOT(ISERROR(SEARCH(("Esgotado"),(F2))))</formula>
    </cfRule>
  </conditionalFormatting>
  <dataValidations>
    <dataValidation type="list" allowBlank="1" sqref="C2:C15">
      <formula1>"Tirante,Jersey,Caneca"</formula1>
    </dataValidation>
    <dataValidation type="list" allowBlank="1" sqref="D2:D15">
      <formula1>"Grosso,Fino"</formula1>
    </dataValidation>
    <dataValidation type="custom" allowBlank="1" showDropDown="1" sqref="E2:E15">
      <formula1>AND(ISNUMBER(E2),(NOT(OR(NOT(ISERROR(DATEVALUE(E2))), AND(ISNUMBER(E2), LEFT(CELL("format", E2))="D")))))</formula1>
    </dataValidation>
    <dataValidation allowBlank="1" showDropDown="1" sqref="B2:B15"/>
    <dataValidation allowBlank="1" showDropDown="1" sqref="H2:I15 F2:F15"/>
  </dataValidations>
  <drawing r:id="rId1"/>
  <tableParts count="2">
    <tablePart r:id="rId4"/>
    <tablePart r:id="rId5"/>
  </tableParts>
</worksheet>
</file>